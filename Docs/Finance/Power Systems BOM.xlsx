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<sst xmlns="http://schemas.openxmlformats.org/spreadsheetml/2006/main" count="72" uniqueCount="60">
  <si>
    <t>Item #</t>
  </si>
  <si>
    <t>Description</t>
  </si>
  <si>
    <t>Vendor</t>
  </si>
  <si>
    <t>Part Number</t>
  </si>
  <si>
    <t>Qty</t>
  </si>
  <si>
    <t>Unit Price (AUD)</t>
  </si>
  <si>
    <t>Cost (AUD)</t>
  </si>
  <si>
    <t>Link to Where to Purchase</t>
  </si>
  <si>
    <t>Notes</t>
  </si>
  <si>
    <t>Progress</t>
  </si>
  <si>
    <t>Active Balancing BMS</t>
  </si>
  <si>
    <t>AliExpress (JiKong)</t>
  </si>
  <si>
    <t>JK-BD6A24S10P</t>
  </si>
  <si>
    <t>https://www.aliexpress.com/item/1005008042959707.html?spm=a2g0o.productlist.main.2.fb5fLzruLzrufk&amp;algo_pvid=e7144abc-fb62-4651-926a-73b469f5b63e&amp;algo_exp_id=e7144abc-fb62-4651-926a-73b469f5b63e-1&amp;pdp_ext_f=%7B%22order%22%3A%224385%22%2C%22eval%22%3A%221%22%2C%22orig_sl_item_id%22%3A%221005008042959707%22%2C%22orig_item_id%22%3A%221005007523496450%22%7D&amp;pdp_npi=4%40dis%21AUD%21128.41%2159.22%21%21%2182.38%2137.99%21%402101c5ac17495583980408336e2bb6%2112000043392362009%21sea%21AU%210%21ABX&amp;curPageLogUid=NUq8lHQPqC2O&amp;utparam-url=scene%3Asearch%7Cquery_from%3A#nav-specification</t>
  </si>
  <si>
    <t>Has to be this for active balancing</t>
  </si>
  <si>
    <t>In Progress</t>
  </si>
  <si>
    <t>Blade Fuse Holder</t>
  </si>
  <si>
    <t>Altronics</t>
  </si>
  <si>
    <t>S6036</t>
  </si>
  <si>
    <t>https://www.altronics.com.au/p/s6036-30a-in-line-blade-fuse-holder/</t>
  </si>
  <si>
    <t>CAN Bus Module</t>
  </si>
  <si>
    <t>Amazon</t>
  </si>
  <si>
    <t>MCP2515</t>
  </si>
  <si>
    <t>https://www.amazon.com.au/LT-Easiyl-Industrial-Monitoring-Accessories/dp/B0CR1F4P1G/ref=sr_1_2?s=electronics&amp;sr=1-2</t>
  </si>
  <si>
    <t>*Can delete*</t>
  </si>
  <si>
    <t>Unneeded</t>
  </si>
  <si>
    <t>Battery Isolator Switch</t>
  </si>
  <si>
    <t>https://www.amazon.com.au/Telsitine-Battery-Disconnect-12V-48V-Isolator/dp/B0BW3R23CX?source=ps-sl-shoppingads-lpcontext&amp;ref_=fplfs&amp;psc=1&amp;smid=A1UWOPV28GGMO4</t>
  </si>
  <si>
    <t>Estop Switch</t>
  </si>
  <si>
    <t>JayCar</t>
  </si>
  <si>
    <t>SP0786</t>
  </si>
  <si>
    <t>https://www.jaycar.com.au/latching-emergency-stop-switch/p/SP0786?gStoreCode=911</t>
  </si>
  <si>
    <t>Blade Fuse 25A</t>
  </si>
  <si>
    <t>SF2137</t>
  </si>
  <si>
    <t>https://www.jaycar.com.au/25a-clear-standard-blade-fuse/p/SF2137?gStoreCode=911</t>
  </si>
  <si>
    <t>LM1086 5-3.3v LDO</t>
  </si>
  <si>
    <t>Mouser</t>
  </si>
  <si>
    <t>LM1086CT-3.3/NOPB</t>
  </si>
  <si>
    <t>https://au.mouser.com/ProductDetail/Texas-Instruments/LM1086CT-3.3-NOPB?qs=X1J7HmVL2ZFzwLoEFpqMXw%3D%3D&amp;srsltid=AfmBOopUFrHoQhUrg9wunbPv4UkOCSLKUN1heE3TOb7A3TLft7Pop8lu</t>
  </si>
  <si>
    <t>Done</t>
  </si>
  <si>
    <t>10C/W Heatsink</t>
  </si>
  <si>
    <t>590102B03600G</t>
  </si>
  <si>
    <t>https://au.mouser.com/ProductDetail/Aavid/590102B03600G?qs=93uzuGORGqdUdvW3f8fnpQ%3D%3D</t>
  </si>
  <si>
    <t>Heatsink Mount</t>
  </si>
  <si>
    <t>4880SG</t>
  </si>
  <si>
    <t>https://au.mouser.com/ProductDetail/Aavid/4880SG?qs=MnLw5eI5rfiaN93%2F8XQqcQ%3D%3D&amp;srsltid=AfmBOoq6Px4ew5w0_tisRrjPBR32xQBM6bpGEh5ONxQellUHH67IWmJQ</t>
  </si>
  <si>
    <t>PCB Manufacturing</t>
  </si>
  <si>
    <t>PCBWAY</t>
  </si>
  <si>
    <t>https://jlcpcb.com/</t>
  </si>
  <si>
    <t xml:space="preserve"> Shipping: ~$50</t>
  </si>
  <si>
    <t>ESP32 Board</t>
  </si>
  <si>
    <t>Rapid Robotics Australia</t>
  </si>
  <si>
    <t>ESP32</t>
  </si>
  <si>
    <t>https://rapidroboticsaustralia.com/products/esp32-main-board-with-wi-fi-and-bluetooth?variant=41093085233263&amp;country=AU&amp;currency=AUD&amp;utm_medium=product_sync&amp;utm_source=google&amp;utm_content=sag_organic&amp;utm_campaign=sag_organic</t>
  </si>
  <si>
    <t>Shipping: ~$10</t>
  </si>
  <si>
    <t>18650 Samsung 30Q 3000mAh Batteries</t>
  </si>
  <si>
    <t>TinkerTech</t>
  </si>
  <si>
    <t>INR18650 30Q</t>
  </si>
  <si>
    <t>https://www.tinkertechau.com.au/products/samsung-30q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</si>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</sst>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111111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color rgb="FF0F1111"/>
      <name val="&quot;Amazon Ember&quot;"/>
    </font>
    <font>
      <u/>
      <color rgb="FF0000FF"/>
      <name val="Arial"/>
    </font>
    <font>
      <u/>
      <color rgb="FF0000FF"/>
    </font>
    <font>
      <color rgb="FF333333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2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horizontal="right"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164" xfId="0" applyAlignment="1" applyFont="1" applyNumberForma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3" fontId="9" numFmtId="164" xfId="0" applyAlignment="1" applyFont="1" applyNumberForma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wrapText="0"/>
    </xf>
    <xf borderId="0" fillId="0" fontId="3" numFmtId="164" xfId="0" applyAlignment="1" applyFont="1" applyNumberFormat="1">
      <alignment readingOrder="0"/>
    </xf>
    <xf borderId="0" fillId="3" fontId="12" numFmtId="164" xfId="0" applyAlignment="1" applyFont="1" applyNumberFormat="1">
      <alignment readingOrder="0"/>
    </xf>
    <xf borderId="0" fillId="0" fontId="4" numFmtId="164" xfId="0" applyAlignment="1" applyFont="1" applyNumberFormat="1">
      <alignment horizontal="right"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shrinkToFit="0" wrapText="0"/>
    </xf>
    <xf borderId="0" fillId="4" fontId="2" numFmtId="164" xfId="0" applyAlignment="1" applyFill="1" applyFont="1" applyNumberFormat="1">
      <alignment readingOrder="0" shrinkToFit="0" wrapText="0"/>
    </xf>
    <xf borderId="0" fillId="4" fontId="2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apidroboticsaustralia.com/products/esp32-main-board-with-wi-fi-and-bluetooth?variant=41093085233263&amp;country=AU&amp;currency=AUD&amp;utm_medium=product_sync&amp;utm_source=google&amp;utm_content=sag_organic&amp;utm_campaign=sag_organic" TargetMode="External"/><Relationship Id="rId10" Type="http://schemas.openxmlformats.org/officeDocument/2006/relationships/hyperlink" Target="https://jlcpcb.com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tinkertechau.com.au/products/samsung-30q" TargetMode="External"/><Relationship Id="rId1" Type="http://schemas.openxmlformats.org/officeDocument/2006/relationships/hyperlink" Target="https://www.aliexpress.com/item/1005008042959707.html?spm=a2g0o.productlist.main.2.fb5fLzruLzrufk&amp;algo_pvid=e7144abc-fb62-4651-926a-73b469f5b63e&amp;algo_exp_id=e7144abc-fb62-4651-926a-73b469f5b63e-1&amp;pdp_ext_f=%7B%22order%22%3A%224385%22%2C%22eval%22%3A%221%22%2C%22orig_sl_item_id%22%3A%221005008042959707%22%2C%22orig_item_id%22%3A%221005007523496450%22%7D&amp;pdp_npi=4%40dis%21AUD%21128.41%2159.22%21%21%2182.38%2137.99%21%402101c5ac17495583980408336e2bb6%2112000043392362009%21sea%21AU%210%21ABX&amp;curPageLogUid=NUq8lHQPqC2O&amp;utparam-url=scene%3Asearch%7Cquery_from%3A" TargetMode="External"/><Relationship Id="rId2" Type="http://schemas.openxmlformats.org/officeDocument/2006/relationships/hyperlink" Target="https://www.altronics.com.au/p/s6036-30a-in-line-blade-fuse-holder/" TargetMode="External"/><Relationship Id="rId3" Type="http://schemas.openxmlformats.org/officeDocument/2006/relationships/hyperlink" Target="https://www.amazon.com.au/LT-Easiyl-Industrial-Monitoring-Accessories/dp/B0CR1F4P1G/ref=sr_1_2?s=electronics&amp;sr=1-2" TargetMode="External"/><Relationship Id="rId4" Type="http://schemas.openxmlformats.org/officeDocument/2006/relationships/hyperlink" Target="https://www.amazon.com.au/Telsitine-Battery-Disconnect-12V-48V-Isolator/dp/B0BW3R23CX?source=ps-sl-shoppingads-lpcontext&amp;ref_=fplfs&amp;psc=1&amp;smid=A1UWOPV28GGMO4" TargetMode="External"/><Relationship Id="rId9" Type="http://schemas.openxmlformats.org/officeDocument/2006/relationships/hyperlink" Target="https://au.mouser.com/ProductDetail/Aavid/4880SG?qs=MnLw5eI5rfiaN93%2F8XQqcQ%3D%3D&amp;srsltid=AfmBOoq6Px4ew5w0_tisRrjPBR32xQBM6bpGEh5ONxQellUHH67IWmJQ" TargetMode="External"/><Relationship Id="rId5" Type="http://schemas.openxmlformats.org/officeDocument/2006/relationships/hyperlink" Target="https://www.jaycar.com.au/latching-emergency-stop-switch/p/SP0786?gStoreCode=911" TargetMode="External"/><Relationship Id="rId6" Type="http://schemas.openxmlformats.org/officeDocument/2006/relationships/hyperlink" Target="https://www.jaycar.com.au/25a-clear-standard-blade-fuse/p/SF2137?gStoreCode=911" TargetMode="External"/><Relationship Id="rId7" Type="http://schemas.openxmlformats.org/officeDocument/2006/relationships/hyperlink" Target="https://au.mouser.com/ProductDetail/Texas-Instruments/LM1086CT-3.3-NOPB?qs=X1J7HmVL2ZFzwLoEFpqMXw%3D%3D&amp;srsltid=AfmBOopUFrHoQhUrg9wunbPv4UkOCSLKUN1heE3TOb7A3TLft7Pop8lu" TargetMode="External"/><Relationship Id="rId8" Type="http://schemas.openxmlformats.org/officeDocument/2006/relationships/hyperlink" Target="https://au.mouser.com/ProductDetail/Aavid/590102B03600G?qs=93uzuGORGqdUdvW3f8fnp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3" width="19.25"/>
    <col customWidth="1" min="4" max="4" width="17.25"/>
    <col customWidth="1" min="6" max="6" width="14.0"/>
    <col customWidth="1" min="7" max="7" width="11.25"/>
    <col customWidth="1" min="9" max="9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>1</f>
        <v>1</v>
      </c>
      <c r="B2" s="6" t="s">
        <v>10</v>
      </c>
      <c r="C2" s="7" t="s">
        <v>11</v>
      </c>
      <c r="D2" s="8" t="s">
        <v>12</v>
      </c>
      <c r="E2" s="5">
        <v>1.0</v>
      </c>
      <c r="F2" s="9">
        <v>128.41</v>
      </c>
      <c r="G2" s="10">
        <f t="shared" ref="G2:G10" si="1">E2*F2</f>
        <v>128.41</v>
      </c>
      <c r="H2" s="11" t="s">
        <v>13</v>
      </c>
      <c r="I2" s="12" t="s">
        <v>14</v>
      </c>
      <c r="J2" s="12" t="s">
        <v>15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>
        <f t="shared" ref="A3:A13" si="2">A2+1</f>
        <v>2</v>
      </c>
      <c r="B3" s="12" t="s">
        <v>16</v>
      </c>
      <c r="C3" s="12" t="s">
        <v>17</v>
      </c>
      <c r="D3" s="12" t="s">
        <v>18</v>
      </c>
      <c r="E3" s="12">
        <v>5.0</v>
      </c>
      <c r="F3" s="13">
        <v>2.95</v>
      </c>
      <c r="G3" s="10">
        <f t="shared" si="1"/>
        <v>14.75</v>
      </c>
      <c r="H3" s="14" t="s">
        <v>19</v>
      </c>
      <c r="I3" s="4"/>
      <c r="J3" s="12" t="s">
        <v>15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>
        <f t="shared" si="2"/>
        <v>3</v>
      </c>
      <c r="B4" s="8" t="s">
        <v>20</v>
      </c>
      <c r="C4" s="8" t="s">
        <v>21</v>
      </c>
      <c r="D4" s="8" t="s">
        <v>22</v>
      </c>
      <c r="E4" s="8">
        <v>2.0</v>
      </c>
      <c r="F4" s="15">
        <v>18.19</v>
      </c>
      <c r="G4" s="10">
        <f t="shared" si="1"/>
        <v>36.38</v>
      </c>
      <c r="H4" s="16" t="s">
        <v>23</v>
      </c>
      <c r="I4" s="12" t="s">
        <v>24</v>
      </c>
      <c r="J4" s="12" t="s">
        <v>25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>
        <f t="shared" si="2"/>
        <v>4</v>
      </c>
      <c r="B5" s="8" t="s">
        <v>26</v>
      </c>
      <c r="C5" s="8" t="s">
        <v>21</v>
      </c>
      <c r="D5" s="17"/>
      <c r="E5" s="5">
        <v>2.0</v>
      </c>
      <c r="F5" s="15">
        <v>18.89</v>
      </c>
      <c r="G5" s="10">
        <f t="shared" si="1"/>
        <v>37.78</v>
      </c>
      <c r="H5" s="11" t="s">
        <v>27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>
        <f t="shared" si="2"/>
        <v>5</v>
      </c>
      <c r="B6" s="12" t="s">
        <v>28</v>
      </c>
      <c r="C6" s="12" t="s">
        <v>29</v>
      </c>
      <c r="D6" s="12" t="s">
        <v>30</v>
      </c>
      <c r="E6" s="12">
        <v>2.0</v>
      </c>
      <c r="F6" s="13">
        <v>21.95</v>
      </c>
      <c r="G6" s="10">
        <f t="shared" si="1"/>
        <v>43.9</v>
      </c>
      <c r="H6" s="18" t="s">
        <v>31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>
        <f t="shared" si="2"/>
        <v>6</v>
      </c>
      <c r="B7" s="12" t="s">
        <v>32</v>
      </c>
      <c r="C7" s="12" t="s">
        <v>29</v>
      </c>
      <c r="D7" s="12" t="s">
        <v>33</v>
      </c>
      <c r="E7" s="12">
        <v>5.0</v>
      </c>
      <c r="F7" s="13">
        <v>1.1</v>
      </c>
      <c r="G7" s="10">
        <f t="shared" si="1"/>
        <v>5.5</v>
      </c>
      <c r="H7" s="18" t="s">
        <v>34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>
        <f t="shared" si="2"/>
        <v>7</v>
      </c>
      <c r="B8" s="8" t="s">
        <v>35</v>
      </c>
      <c r="C8" s="8" t="s">
        <v>36</v>
      </c>
      <c r="D8" s="8" t="s">
        <v>37</v>
      </c>
      <c r="E8" s="5">
        <v>6.0</v>
      </c>
      <c r="F8" s="19">
        <v>3.3</v>
      </c>
      <c r="G8" s="10">
        <f t="shared" si="1"/>
        <v>19.8</v>
      </c>
      <c r="H8" s="16" t="s">
        <v>38</v>
      </c>
      <c r="I8" s="4"/>
      <c r="J8" s="12" t="s">
        <v>39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">
        <f t="shared" si="2"/>
        <v>8</v>
      </c>
      <c r="B9" s="8" t="s">
        <v>40</v>
      </c>
      <c r="C9" s="8" t="s">
        <v>36</v>
      </c>
      <c r="D9" s="8" t="s">
        <v>41</v>
      </c>
      <c r="E9" s="5">
        <v>5.0</v>
      </c>
      <c r="F9" s="20">
        <v>2.36</v>
      </c>
      <c r="G9" s="10">
        <f t="shared" si="1"/>
        <v>11.8</v>
      </c>
      <c r="H9" s="14" t="s">
        <v>42</v>
      </c>
      <c r="I9" s="4"/>
      <c r="J9" s="12" t="s">
        <v>39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">
        <f t="shared" si="2"/>
        <v>9</v>
      </c>
      <c r="B10" s="8" t="s">
        <v>43</v>
      </c>
      <c r="C10" s="8" t="s">
        <v>36</v>
      </c>
      <c r="D10" s="8" t="s">
        <v>44</v>
      </c>
      <c r="E10" s="5">
        <v>3.0</v>
      </c>
      <c r="F10" s="20">
        <v>7.49</v>
      </c>
      <c r="G10" s="10">
        <f t="shared" si="1"/>
        <v>22.47</v>
      </c>
      <c r="H10" s="14" t="s">
        <v>45</v>
      </c>
      <c r="I10" s="4"/>
      <c r="J10" s="12" t="s">
        <v>39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>
        <f t="shared" si="2"/>
        <v>10</v>
      </c>
      <c r="B11" s="8" t="s">
        <v>46</v>
      </c>
      <c r="C11" s="8" t="s">
        <v>47</v>
      </c>
      <c r="D11" s="17"/>
      <c r="E11" s="5">
        <v>5.0</v>
      </c>
      <c r="F11" s="21"/>
      <c r="G11" s="22">
        <f>102</f>
        <v>102</v>
      </c>
      <c r="H11" s="11" t="s">
        <v>48</v>
      </c>
      <c r="I11" s="12" t="s">
        <v>49</v>
      </c>
      <c r="J11" s="12" t="s">
        <v>39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2">
        <f t="shared" si="2"/>
        <v>11</v>
      </c>
      <c r="B12" s="6" t="s">
        <v>50</v>
      </c>
      <c r="C12" s="8" t="s">
        <v>51</v>
      </c>
      <c r="D12" s="8" t="s">
        <v>52</v>
      </c>
      <c r="E12" s="5">
        <v>4.0</v>
      </c>
      <c r="F12" s="9">
        <v>11.95</v>
      </c>
      <c r="G12" s="10">
        <f t="shared" ref="G12:G15" si="3">E12*F12</f>
        <v>47.8</v>
      </c>
      <c r="H12" s="16" t="s">
        <v>53</v>
      </c>
      <c r="I12" s="12" t="s">
        <v>54</v>
      </c>
      <c r="J12" s="12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>
        <f t="shared" si="2"/>
        <v>12</v>
      </c>
      <c r="B13" s="8" t="s">
        <v>55</v>
      </c>
      <c r="C13" s="8" t="s">
        <v>56</v>
      </c>
      <c r="D13" s="8" t="s">
        <v>57</v>
      </c>
      <c r="E13" s="8">
        <v>50.0</v>
      </c>
      <c r="F13" s="23">
        <v>7.19</v>
      </c>
      <c r="G13" s="10">
        <f t="shared" si="3"/>
        <v>359.5</v>
      </c>
      <c r="H13" s="11" t="s">
        <v>58</v>
      </c>
      <c r="I13" s="4"/>
      <c r="J13" s="12" t="s">
        <v>15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24"/>
      <c r="G14" s="10">
        <f t="shared" si="3"/>
        <v>0</v>
      </c>
      <c r="H14" s="4"/>
      <c r="I14" s="4"/>
      <c r="J14" s="12" t="s">
        <v>25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24"/>
      <c r="G15" s="10">
        <f t="shared" si="3"/>
        <v>0</v>
      </c>
      <c r="H15" s="4"/>
      <c r="I15" s="4"/>
      <c r="J15" s="12" t="s">
        <v>25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25" t="s">
        <v>59</v>
      </c>
      <c r="G16" s="26">
        <f>SUM(G2:G15)</f>
        <v>830.09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24"/>
      <c r="G17" s="2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24"/>
      <c r="G18" s="2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24"/>
      <c r="G19" s="2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24"/>
      <c r="G20" s="2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24"/>
      <c r="G21" s="2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24"/>
      <c r="G22" s="2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24"/>
      <c r="G23" s="2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24"/>
      <c r="G24" s="2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24"/>
      <c r="G25" s="2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24"/>
      <c r="G26" s="2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24"/>
      <c r="G27" s="2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24"/>
      <c r="G28" s="2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24"/>
      <c r="G29" s="2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24"/>
      <c r="G30" s="2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24"/>
      <c r="G31" s="2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24"/>
      <c r="G32" s="2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24"/>
      <c r="G33" s="2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24"/>
      <c r="G34" s="2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24"/>
      <c r="G35" s="2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24"/>
      <c r="G36" s="2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24"/>
      <c r="G37" s="2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24"/>
      <c r="G38" s="2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24"/>
      <c r="G239" s="2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24"/>
      <c r="G240" s="2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24"/>
      <c r="G241" s="2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24"/>
      <c r="G242" s="2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24"/>
      <c r="G243" s="2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24"/>
      <c r="G244" s="2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24"/>
      <c r="G245" s="2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24"/>
      <c r="G246" s="2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24"/>
      <c r="G247" s="2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24"/>
      <c r="G248" s="2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24"/>
      <c r="G249" s="2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24"/>
      <c r="G250" s="2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24"/>
      <c r="G251" s="2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24"/>
      <c r="G252" s="2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24"/>
      <c r="G253" s="2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24"/>
      <c r="G254" s="2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24"/>
      <c r="G255" s="2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24"/>
      <c r="G256" s="2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24"/>
      <c r="G257" s="2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24"/>
      <c r="G258" s="2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24"/>
      <c r="G259" s="2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24"/>
      <c r="G260" s="2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24"/>
      <c r="G261" s="2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24"/>
      <c r="G262" s="2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24"/>
      <c r="G263" s="2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24"/>
      <c r="G264" s="2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24"/>
      <c r="G265" s="2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24"/>
      <c r="G266" s="2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24"/>
      <c r="G267" s="2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24"/>
      <c r="G268" s="2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24"/>
      <c r="G269" s="2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24"/>
      <c r="G270" s="2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24"/>
      <c r="G271" s="2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24"/>
      <c r="G272" s="2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24"/>
      <c r="G273" s="2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24"/>
      <c r="G274" s="2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24"/>
      <c r="G275" s="2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24"/>
      <c r="G276" s="2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24"/>
      <c r="G277" s="2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24"/>
      <c r="G278" s="2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24"/>
      <c r="G279" s="2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24"/>
      <c r="G280" s="2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24"/>
      <c r="G281" s="2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24"/>
      <c r="G282" s="2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24"/>
      <c r="G283" s="2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24"/>
      <c r="G284" s="2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24"/>
      <c r="G285" s="2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24"/>
      <c r="G286" s="2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24"/>
      <c r="G287" s="2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24"/>
      <c r="G288" s="2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24"/>
      <c r="G289" s="2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24"/>
      <c r="G290" s="2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24"/>
      <c r="G291" s="2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24"/>
      <c r="G292" s="2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24"/>
      <c r="G293" s="2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24"/>
      <c r="G294" s="2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24"/>
      <c r="G295" s="2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24"/>
      <c r="G296" s="2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24"/>
      <c r="G297" s="2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24"/>
      <c r="G298" s="2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24"/>
      <c r="G299" s="2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24"/>
      <c r="G300" s="2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24"/>
      <c r="G301" s="2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24"/>
      <c r="G302" s="2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24"/>
      <c r="G303" s="2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24"/>
      <c r="G304" s="2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24"/>
      <c r="G305" s="2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24"/>
      <c r="G306" s="2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24"/>
      <c r="G307" s="2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24"/>
      <c r="G308" s="2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24"/>
      <c r="G309" s="2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24"/>
      <c r="G310" s="2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24"/>
      <c r="G311" s="2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24"/>
      <c r="G312" s="2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24"/>
      <c r="G313" s="2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24"/>
      <c r="G314" s="2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24"/>
      <c r="G315" s="2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24"/>
      <c r="G316" s="2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24"/>
      <c r="G317" s="2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24"/>
      <c r="G318" s="2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24"/>
      <c r="G319" s="2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24"/>
      <c r="G320" s="2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24"/>
      <c r="G321" s="2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24"/>
      <c r="G322" s="2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24"/>
      <c r="G323" s="2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24"/>
      <c r="G324" s="2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24"/>
      <c r="G325" s="2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24"/>
      <c r="G326" s="2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24"/>
      <c r="G327" s="2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24"/>
      <c r="G328" s="2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24"/>
      <c r="G329" s="2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24"/>
      <c r="G330" s="2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24"/>
      <c r="G331" s="2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24"/>
      <c r="G332" s="2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24"/>
      <c r="G333" s="2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24"/>
      <c r="G334" s="2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24"/>
      <c r="G335" s="2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24"/>
      <c r="G336" s="2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24"/>
      <c r="G337" s="2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24"/>
      <c r="G338" s="2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24"/>
      <c r="G339" s="2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24"/>
      <c r="G340" s="2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24"/>
      <c r="G341" s="2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24"/>
      <c r="G342" s="2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24"/>
      <c r="G343" s="2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24"/>
      <c r="G344" s="2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24"/>
      <c r="G345" s="2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24"/>
      <c r="G346" s="2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24"/>
      <c r="G347" s="2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24"/>
      <c r="G348" s="2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24"/>
      <c r="G349" s="2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24"/>
      <c r="G350" s="2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24"/>
      <c r="G351" s="2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24"/>
      <c r="G352" s="2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24"/>
      <c r="G353" s="2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24"/>
      <c r="G354" s="2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24"/>
      <c r="G355" s="2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24"/>
      <c r="G356" s="2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24"/>
      <c r="G357" s="2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24"/>
      <c r="G358" s="2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24"/>
      <c r="G359" s="2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24"/>
      <c r="G360" s="2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24"/>
      <c r="G361" s="2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24"/>
      <c r="G362" s="2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24"/>
      <c r="G363" s="2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24"/>
      <c r="G364" s="2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24"/>
      <c r="G365" s="2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24"/>
      <c r="G366" s="2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24"/>
      <c r="G367" s="2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24"/>
      <c r="G368" s="2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24"/>
      <c r="G369" s="2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24"/>
      <c r="G370" s="2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24"/>
      <c r="G371" s="2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24"/>
      <c r="G372" s="2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24"/>
      <c r="G373" s="2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24"/>
      <c r="G374" s="2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24"/>
      <c r="G375" s="2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24"/>
      <c r="G376" s="2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24"/>
      <c r="G377" s="2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24"/>
      <c r="G378" s="2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24"/>
      <c r="G379" s="2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24"/>
      <c r="G380" s="2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24"/>
      <c r="G381" s="2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24"/>
      <c r="G382" s="2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24"/>
      <c r="G383" s="2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24"/>
      <c r="G384" s="2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24"/>
      <c r="G385" s="2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24"/>
      <c r="G386" s="2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24"/>
      <c r="G387" s="2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24"/>
      <c r="G388" s="2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24"/>
      <c r="G389" s="2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24"/>
      <c r="G390" s="2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24"/>
      <c r="G391" s="2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24"/>
      <c r="G392" s="2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24"/>
      <c r="G393" s="2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24"/>
      <c r="G394" s="2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24"/>
      <c r="G395" s="2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24"/>
      <c r="G396" s="2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24"/>
      <c r="G397" s="2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24"/>
      <c r="G398" s="2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24"/>
      <c r="G399" s="2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24"/>
      <c r="G400" s="2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24"/>
      <c r="G401" s="2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24"/>
      <c r="G402" s="2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24"/>
      <c r="G403" s="2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24"/>
      <c r="G404" s="2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24"/>
      <c r="G405" s="2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24"/>
      <c r="G406" s="2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24"/>
      <c r="G407" s="2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24"/>
      <c r="G408" s="2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24"/>
      <c r="G409" s="2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24"/>
      <c r="G410" s="2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24"/>
      <c r="G411" s="2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24"/>
      <c r="G412" s="2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24"/>
      <c r="G413" s="2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24"/>
      <c r="G414" s="2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24"/>
      <c r="G415" s="2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24"/>
      <c r="G416" s="2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24"/>
      <c r="G417" s="2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24"/>
      <c r="G418" s="2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24"/>
      <c r="G419" s="2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24"/>
      <c r="G420" s="2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24"/>
      <c r="G421" s="2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24"/>
      <c r="G422" s="2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24"/>
      <c r="G423" s="2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24"/>
      <c r="G424" s="2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24"/>
      <c r="G425" s="2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24"/>
      <c r="G426" s="2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24"/>
      <c r="G427" s="2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24"/>
      <c r="G428" s="2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24"/>
      <c r="G429" s="2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24"/>
      <c r="G430" s="2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24"/>
      <c r="G431" s="2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24"/>
      <c r="G432" s="2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24"/>
      <c r="G433" s="2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24"/>
      <c r="G434" s="2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24"/>
      <c r="G435" s="2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24"/>
      <c r="G436" s="2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24"/>
      <c r="G437" s="2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24"/>
      <c r="G438" s="2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24"/>
      <c r="G439" s="2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24"/>
      <c r="G440" s="2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24"/>
      <c r="G441" s="2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24"/>
      <c r="G442" s="2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24"/>
      <c r="G443" s="2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24"/>
      <c r="G444" s="2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24"/>
      <c r="G445" s="2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24"/>
      <c r="G446" s="2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24"/>
      <c r="G447" s="2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24"/>
      <c r="G448" s="2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24"/>
      <c r="G449" s="2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24"/>
      <c r="G450" s="2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24"/>
      <c r="G451" s="2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24"/>
      <c r="G452" s="2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24"/>
      <c r="G453" s="2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24"/>
      <c r="G454" s="2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24"/>
      <c r="G455" s="2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24"/>
      <c r="G456" s="2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24"/>
      <c r="G457" s="2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24"/>
      <c r="G458" s="2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24"/>
      <c r="G459" s="2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24"/>
      <c r="G460" s="2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24"/>
      <c r="G461" s="2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24"/>
      <c r="G462" s="2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24"/>
      <c r="G463" s="2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24"/>
      <c r="G464" s="2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24"/>
      <c r="G465" s="2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24"/>
      <c r="G466" s="2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24"/>
      <c r="G467" s="2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24"/>
      <c r="G468" s="2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24"/>
      <c r="G469" s="2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24"/>
      <c r="G470" s="2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24"/>
      <c r="G471" s="2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24"/>
      <c r="G472" s="2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24"/>
      <c r="G473" s="2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24"/>
      <c r="G474" s="2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24"/>
      <c r="G475" s="2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24"/>
      <c r="G476" s="2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24"/>
      <c r="G477" s="2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24"/>
      <c r="G478" s="2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24"/>
      <c r="G479" s="2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24"/>
      <c r="G480" s="2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24"/>
      <c r="G481" s="2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24"/>
      <c r="G482" s="2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24"/>
      <c r="G483" s="2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24"/>
      <c r="G484" s="2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24"/>
      <c r="G485" s="2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24"/>
      <c r="G486" s="2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24"/>
      <c r="G487" s="2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24"/>
      <c r="G488" s="2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24"/>
      <c r="G489" s="2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24"/>
      <c r="G490" s="2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24"/>
      <c r="G491" s="2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24"/>
      <c r="G492" s="2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24"/>
      <c r="G493" s="2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24"/>
      <c r="G494" s="2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24"/>
      <c r="G495" s="2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24"/>
      <c r="G496" s="2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24"/>
      <c r="G497" s="2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24"/>
      <c r="G498" s="2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24"/>
      <c r="G499" s="2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24"/>
      <c r="G500" s="2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24"/>
      <c r="G501" s="2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24"/>
      <c r="G502" s="2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24"/>
      <c r="G503" s="2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24"/>
      <c r="G504" s="2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24"/>
      <c r="G505" s="2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24"/>
      <c r="G506" s="2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24"/>
      <c r="G507" s="2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24"/>
      <c r="G508" s="2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24"/>
      <c r="G509" s="2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24"/>
      <c r="G510" s="2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24"/>
      <c r="G511" s="2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24"/>
      <c r="G512" s="2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24"/>
      <c r="G513" s="2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24"/>
      <c r="G514" s="2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24"/>
      <c r="G515" s="2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24"/>
      <c r="G516" s="2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24"/>
      <c r="G517" s="2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24"/>
      <c r="G518" s="2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24"/>
      <c r="G519" s="2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24"/>
      <c r="G520" s="2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24"/>
      <c r="G521" s="2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24"/>
      <c r="G522" s="2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24"/>
      <c r="G523" s="2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24"/>
      <c r="G524" s="2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24"/>
      <c r="G525" s="2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24"/>
      <c r="G526" s="2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24"/>
      <c r="G527" s="2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24"/>
      <c r="G528" s="2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24"/>
      <c r="G529" s="2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24"/>
      <c r="G530" s="2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24"/>
      <c r="G531" s="2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24"/>
      <c r="G532" s="2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24"/>
      <c r="G533" s="2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24"/>
      <c r="G534" s="2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24"/>
      <c r="G535" s="2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24"/>
      <c r="G536" s="2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24"/>
      <c r="G537" s="2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24"/>
      <c r="G538" s="2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24"/>
      <c r="G539" s="2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24"/>
      <c r="G540" s="2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24"/>
      <c r="G541" s="2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24"/>
      <c r="G542" s="2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24"/>
      <c r="G543" s="2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24"/>
      <c r="G544" s="2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24"/>
      <c r="G545" s="2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24"/>
      <c r="G546" s="2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24"/>
      <c r="G547" s="2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24"/>
      <c r="G548" s="2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24"/>
      <c r="G549" s="2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24"/>
      <c r="G550" s="2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24"/>
      <c r="G551" s="2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24"/>
      <c r="G552" s="2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24"/>
      <c r="G553" s="2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24"/>
      <c r="G554" s="2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24"/>
      <c r="G555" s="2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24"/>
      <c r="G556" s="2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24"/>
      <c r="G557" s="2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24"/>
      <c r="G558" s="2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24"/>
      <c r="G559" s="2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24"/>
      <c r="G560" s="2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24"/>
      <c r="G561" s="2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24"/>
      <c r="G562" s="2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24"/>
      <c r="G563" s="2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24"/>
      <c r="G564" s="2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24"/>
      <c r="G565" s="2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24"/>
      <c r="G566" s="2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24"/>
      <c r="G567" s="2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24"/>
      <c r="G568" s="2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24"/>
      <c r="G569" s="2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24"/>
      <c r="G570" s="2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24"/>
      <c r="G571" s="2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24"/>
      <c r="G572" s="2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24"/>
      <c r="G573" s="2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24"/>
      <c r="G574" s="2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24"/>
      <c r="G575" s="2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24"/>
      <c r="G576" s="2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24"/>
      <c r="G577" s="2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24"/>
      <c r="G578" s="2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24"/>
      <c r="G579" s="2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24"/>
      <c r="G580" s="2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24"/>
      <c r="G581" s="2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24"/>
      <c r="G582" s="2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24"/>
      <c r="G583" s="2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24"/>
      <c r="G584" s="2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24"/>
      <c r="G585" s="2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24"/>
      <c r="G586" s="2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24"/>
      <c r="G587" s="2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24"/>
      <c r="G588" s="2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24"/>
      <c r="G589" s="2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24"/>
      <c r="G590" s="2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24"/>
      <c r="G591" s="2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24"/>
      <c r="G592" s="2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24"/>
      <c r="G593" s="2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24"/>
      <c r="G594" s="2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24"/>
      <c r="G595" s="2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24"/>
      <c r="G596" s="2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24"/>
      <c r="G597" s="2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24"/>
      <c r="G598" s="2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24"/>
      <c r="G599" s="2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24"/>
      <c r="G600" s="2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24"/>
      <c r="G601" s="2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24"/>
      <c r="G602" s="2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24"/>
      <c r="G603" s="2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24"/>
      <c r="G604" s="2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24"/>
      <c r="G605" s="2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24"/>
      <c r="G606" s="2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24"/>
      <c r="G607" s="2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24"/>
      <c r="G608" s="2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24"/>
      <c r="G609" s="2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24"/>
      <c r="G610" s="2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24"/>
      <c r="G611" s="2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24"/>
      <c r="G612" s="2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24"/>
      <c r="G613" s="2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24"/>
      <c r="G614" s="2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24"/>
      <c r="G615" s="2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24"/>
      <c r="G616" s="2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24"/>
      <c r="G617" s="2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24"/>
      <c r="G618" s="2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24"/>
      <c r="G619" s="2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24"/>
      <c r="G620" s="2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24"/>
      <c r="G621" s="2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24"/>
      <c r="G622" s="2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24"/>
      <c r="G623" s="2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24"/>
      <c r="G624" s="2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24"/>
      <c r="G625" s="2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24"/>
      <c r="G626" s="2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24"/>
      <c r="G627" s="2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24"/>
      <c r="G628" s="2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24"/>
      <c r="G629" s="2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24"/>
      <c r="G630" s="2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24"/>
      <c r="G631" s="2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24"/>
      <c r="G632" s="2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24"/>
      <c r="G633" s="2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24"/>
      <c r="G634" s="2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24"/>
      <c r="G635" s="2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24"/>
      <c r="G636" s="2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24"/>
      <c r="G637" s="2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24"/>
      <c r="G638" s="2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24"/>
      <c r="G639" s="2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24"/>
      <c r="G640" s="2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24"/>
      <c r="G641" s="2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24"/>
      <c r="G642" s="2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24"/>
      <c r="G643" s="2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24"/>
      <c r="G644" s="2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24"/>
      <c r="G645" s="2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24"/>
      <c r="G646" s="2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24"/>
      <c r="G647" s="2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24"/>
      <c r="G648" s="2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24"/>
      <c r="G649" s="2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24"/>
      <c r="G650" s="2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24"/>
      <c r="G651" s="2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24"/>
      <c r="G652" s="2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24"/>
      <c r="G653" s="2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24"/>
      <c r="G654" s="2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24"/>
      <c r="G655" s="2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24"/>
      <c r="G656" s="2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24"/>
      <c r="G657" s="2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24"/>
      <c r="G658" s="2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24"/>
      <c r="G659" s="2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24"/>
      <c r="G660" s="2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24"/>
      <c r="G661" s="2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24"/>
      <c r="G662" s="2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24"/>
      <c r="G663" s="2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24"/>
      <c r="G664" s="2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24"/>
      <c r="G665" s="2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24"/>
      <c r="G666" s="2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24"/>
      <c r="G667" s="2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24"/>
      <c r="G668" s="2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24"/>
      <c r="G669" s="2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24"/>
      <c r="G670" s="2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24"/>
      <c r="G671" s="2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24"/>
      <c r="G672" s="2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24"/>
      <c r="G673" s="2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24"/>
      <c r="G674" s="2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24"/>
      <c r="G675" s="2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24"/>
      <c r="G676" s="2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24"/>
      <c r="G677" s="2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24"/>
      <c r="G678" s="2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24"/>
      <c r="G679" s="2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24"/>
      <c r="G680" s="2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24"/>
      <c r="G681" s="2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24"/>
      <c r="G682" s="2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24"/>
      <c r="G683" s="2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24"/>
      <c r="G684" s="2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24"/>
      <c r="G685" s="2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24"/>
      <c r="G686" s="2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24"/>
      <c r="G687" s="2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24"/>
      <c r="G688" s="2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24"/>
      <c r="G689" s="2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24"/>
      <c r="G690" s="2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24"/>
      <c r="G691" s="2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24"/>
      <c r="G692" s="2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24"/>
      <c r="G693" s="2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24"/>
      <c r="G694" s="2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24"/>
      <c r="G695" s="2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24"/>
      <c r="G696" s="2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24"/>
      <c r="G697" s="2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24"/>
      <c r="G698" s="2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24"/>
      <c r="G699" s="2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24"/>
      <c r="G700" s="2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24"/>
      <c r="G701" s="2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24"/>
      <c r="G702" s="2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24"/>
      <c r="G703" s="2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24"/>
      <c r="G704" s="2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24"/>
      <c r="G705" s="2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24"/>
      <c r="G706" s="2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24"/>
      <c r="G707" s="2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24"/>
      <c r="G708" s="2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24"/>
      <c r="G709" s="2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24"/>
      <c r="G710" s="2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24"/>
      <c r="G711" s="2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24"/>
      <c r="G712" s="2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24"/>
      <c r="G713" s="2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24"/>
      <c r="G714" s="2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24"/>
      <c r="G715" s="2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24"/>
      <c r="G716" s="2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24"/>
      <c r="G717" s="2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24"/>
      <c r="G718" s="2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24"/>
      <c r="G719" s="2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24"/>
      <c r="G720" s="2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24"/>
      <c r="G721" s="2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24"/>
      <c r="G722" s="2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24"/>
      <c r="G723" s="2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24"/>
      <c r="G724" s="2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24"/>
      <c r="G725" s="2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24"/>
      <c r="G726" s="2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24"/>
      <c r="G727" s="2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24"/>
      <c r="G728" s="2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24"/>
      <c r="G729" s="2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24"/>
      <c r="G730" s="2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24"/>
      <c r="G731" s="2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24"/>
      <c r="G732" s="2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24"/>
      <c r="G733" s="2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24"/>
      <c r="G734" s="2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24"/>
      <c r="G735" s="2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24"/>
      <c r="G736" s="2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24"/>
      <c r="G737" s="2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24"/>
      <c r="G738" s="2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24"/>
      <c r="G739" s="2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24"/>
      <c r="G740" s="2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24"/>
      <c r="G741" s="2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24"/>
      <c r="G742" s="2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24"/>
      <c r="G743" s="2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24"/>
      <c r="G744" s="2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24"/>
      <c r="G745" s="2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24"/>
      <c r="G746" s="2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24"/>
      <c r="G747" s="2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24"/>
      <c r="G748" s="2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24"/>
      <c r="G749" s="2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24"/>
      <c r="G750" s="2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24"/>
      <c r="G751" s="2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24"/>
      <c r="G752" s="2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24"/>
      <c r="G753" s="2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24"/>
      <c r="G754" s="2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24"/>
      <c r="G755" s="2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24"/>
      <c r="G756" s="2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24"/>
      <c r="G757" s="2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24"/>
      <c r="G758" s="2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24"/>
      <c r="G759" s="2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24"/>
      <c r="G760" s="2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24"/>
      <c r="G761" s="2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24"/>
      <c r="G762" s="2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24"/>
      <c r="G763" s="2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24"/>
      <c r="G764" s="2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24"/>
      <c r="G765" s="2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24"/>
      <c r="G766" s="2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24"/>
      <c r="G767" s="2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24"/>
      <c r="G768" s="2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24"/>
      <c r="G769" s="2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24"/>
      <c r="G770" s="2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24"/>
      <c r="G771" s="2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24"/>
      <c r="G772" s="2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24"/>
      <c r="G773" s="2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24"/>
      <c r="G774" s="2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24"/>
      <c r="G775" s="2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24"/>
      <c r="G776" s="2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24"/>
      <c r="G777" s="2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24"/>
      <c r="G778" s="2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24"/>
      <c r="G779" s="2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24"/>
      <c r="G780" s="2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24"/>
      <c r="G781" s="2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24"/>
      <c r="G782" s="2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24"/>
      <c r="G783" s="2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24"/>
      <c r="G784" s="2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24"/>
      <c r="G785" s="2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24"/>
      <c r="G786" s="2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24"/>
      <c r="G787" s="2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24"/>
      <c r="G788" s="2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24"/>
      <c r="G789" s="2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24"/>
      <c r="G790" s="2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24"/>
      <c r="G791" s="2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24"/>
      <c r="G792" s="2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24"/>
      <c r="G793" s="2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24"/>
      <c r="G794" s="2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24"/>
      <c r="G795" s="2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24"/>
      <c r="G796" s="2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24"/>
      <c r="G797" s="2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24"/>
      <c r="G798" s="2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24"/>
      <c r="G799" s="2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24"/>
      <c r="G800" s="2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24"/>
      <c r="G801" s="2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24"/>
      <c r="G802" s="2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24"/>
      <c r="G803" s="2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24"/>
      <c r="G804" s="2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24"/>
      <c r="G805" s="2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24"/>
      <c r="G806" s="2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24"/>
      <c r="G807" s="2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24"/>
      <c r="G808" s="2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24"/>
      <c r="G809" s="2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24"/>
      <c r="G810" s="2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24"/>
      <c r="G811" s="2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24"/>
      <c r="G812" s="2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24"/>
      <c r="G813" s="2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24"/>
      <c r="G814" s="2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24"/>
      <c r="G815" s="2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24"/>
      <c r="G816" s="2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24"/>
      <c r="G817" s="2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24"/>
      <c r="G818" s="2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24"/>
      <c r="G819" s="2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24"/>
      <c r="G820" s="2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24"/>
      <c r="G821" s="2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24"/>
      <c r="G822" s="2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24"/>
      <c r="G823" s="2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24"/>
      <c r="G824" s="2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24"/>
      <c r="G825" s="2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24"/>
      <c r="G826" s="2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24"/>
      <c r="G827" s="2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24"/>
      <c r="G828" s="2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24"/>
      <c r="G829" s="2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24"/>
      <c r="G830" s="2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24"/>
      <c r="G831" s="2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24"/>
      <c r="G832" s="2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24"/>
      <c r="G833" s="2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24"/>
      <c r="G834" s="2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24"/>
      <c r="G835" s="2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24"/>
      <c r="G836" s="2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24"/>
      <c r="G837" s="2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24"/>
      <c r="G838" s="2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24"/>
      <c r="G839" s="2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24"/>
      <c r="G840" s="2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24"/>
      <c r="G841" s="2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24"/>
      <c r="G842" s="2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24"/>
      <c r="G843" s="2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24"/>
      <c r="G844" s="2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24"/>
      <c r="G845" s="2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24"/>
      <c r="G846" s="2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24"/>
      <c r="G847" s="2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24"/>
      <c r="G848" s="2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24"/>
      <c r="G849" s="2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24"/>
      <c r="G850" s="2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24"/>
      <c r="G851" s="2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24"/>
      <c r="G852" s="2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24"/>
      <c r="G853" s="2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24"/>
      <c r="G854" s="2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24"/>
      <c r="G855" s="2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24"/>
      <c r="G856" s="2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24"/>
      <c r="G857" s="2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24"/>
      <c r="G858" s="2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24"/>
      <c r="G859" s="2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24"/>
      <c r="G860" s="2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24"/>
      <c r="G861" s="2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24"/>
      <c r="G862" s="2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24"/>
      <c r="G863" s="2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24"/>
      <c r="G864" s="2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24"/>
      <c r="G865" s="2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24"/>
      <c r="G866" s="2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24"/>
      <c r="G867" s="2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24"/>
      <c r="G868" s="2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24"/>
      <c r="G869" s="2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24"/>
      <c r="G870" s="2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24"/>
      <c r="G871" s="2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24"/>
      <c r="G872" s="2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24"/>
      <c r="G873" s="2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24"/>
      <c r="G874" s="2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24"/>
      <c r="G875" s="2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24"/>
      <c r="G876" s="2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24"/>
      <c r="G877" s="2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24"/>
      <c r="G878" s="2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24"/>
      <c r="G879" s="2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24"/>
      <c r="G880" s="2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24"/>
      <c r="G881" s="2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24"/>
      <c r="G882" s="2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24"/>
      <c r="G883" s="2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24"/>
      <c r="G884" s="2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24"/>
      <c r="G885" s="2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24"/>
      <c r="G886" s="2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24"/>
      <c r="G887" s="2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24"/>
      <c r="G888" s="2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24"/>
      <c r="G889" s="2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24"/>
      <c r="G890" s="2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24"/>
      <c r="G891" s="2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24"/>
      <c r="G892" s="2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24"/>
      <c r="G893" s="2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24"/>
      <c r="G894" s="2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24"/>
      <c r="G895" s="2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24"/>
      <c r="G896" s="2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24"/>
      <c r="G897" s="2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24"/>
      <c r="G898" s="2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24"/>
      <c r="G899" s="2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24"/>
      <c r="G900" s="2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24"/>
      <c r="G901" s="2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24"/>
      <c r="G902" s="2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24"/>
      <c r="G903" s="2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24"/>
      <c r="G904" s="2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24"/>
      <c r="G905" s="2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24"/>
      <c r="G906" s="2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24"/>
      <c r="G907" s="2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24"/>
      <c r="G908" s="2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24"/>
      <c r="G909" s="2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24"/>
      <c r="G910" s="2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24"/>
      <c r="G911" s="2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24"/>
      <c r="G912" s="2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24"/>
      <c r="G913" s="2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24"/>
      <c r="G914" s="2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24"/>
      <c r="G915" s="2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24"/>
      <c r="G916" s="2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24"/>
      <c r="G917" s="2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24"/>
      <c r="G918" s="2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24"/>
      <c r="G919" s="2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24"/>
      <c r="G920" s="2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24"/>
      <c r="G921" s="2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24"/>
      <c r="G922" s="2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24"/>
      <c r="G923" s="2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24"/>
      <c r="G924" s="2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24"/>
      <c r="G925" s="2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24"/>
      <c r="G926" s="2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24"/>
      <c r="G927" s="2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24"/>
      <c r="G928" s="2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24"/>
      <c r="G929" s="2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24"/>
      <c r="G930" s="2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24"/>
      <c r="G931" s="2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24"/>
      <c r="G932" s="2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24"/>
      <c r="G933" s="2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24"/>
      <c r="G934" s="2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24"/>
      <c r="G935" s="2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24"/>
      <c r="G936" s="2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24"/>
      <c r="G937" s="2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24"/>
      <c r="G938" s="2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24"/>
      <c r="G939" s="2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24"/>
      <c r="G940" s="2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24"/>
      <c r="G941" s="2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24"/>
      <c r="G942" s="2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24"/>
      <c r="G943" s="2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24"/>
      <c r="G944" s="2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24"/>
      <c r="G945" s="2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24"/>
      <c r="G946" s="2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24"/>
      <c r="G947" s="2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24"/>
      <c r="G948" s="2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24"/>
      <c r="G949" s="2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24"/>
      <c r="G950" s="2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24"/>
      <c r="G951" s="2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24"/>
      <c r="G952" s="2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24"/>
      <c r="G953" s="2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24"/>
      <c r="G954" s="2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24"/>
      <c r="G955" s="2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24"/>
      <c r="G956" s="2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24"/>
      <c r="G957" s="2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24"/>
      <c r="G958" s="2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24"/>
      <c r="G959" s="2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24"/>
      <c r="G960" s="2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24"/>
      <c r="G961" s="2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24"/>
      <c r="G962" s="2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24"/>
      <c r="G963" s="2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24"/>
      <c r="G964" s="2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24"/>
      <c r="G965" s="2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24"/>
      <c r="G966" s="2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24"/>
      <c r="G967" s="2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24"/>
      <c r="G968" s="2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24"/>
      <c r="G969" s="2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24"/>
      <c r="G970" s="2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24"/>
      <c r="G971" s="2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24"/>
      <c r="G972" s="2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24"/>
      <c r="G973" s="2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24"/>
      <c r="G974" s="2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24"/>
      <c r="G975" s="2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24"/>
      <c r="G976" s="2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24"/>
      <c r="G977" s="2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24"/>
      <c r="G978" s="2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24"/>
      <c r="G979" s="2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24"/>
      <c r="G980" s="2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24"/>
      <c r="G981" s="2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24"/>
      <c r="G982" s="2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24"/>
      <c r="G983" s="2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24"/>
      <c r="G984" s="2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24"/>
      <c r="G985" s="2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24"/>
      <c r="G986" s="2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24"/>
      <c r="G987" s="2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24"/>
      <c r="G988" s="2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24"/>
      <c r="G989" s="2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24"/>
      <c r="G990" s="2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24"/>
      <c r="G991" s="2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24"/>
      <c r="G992" s="2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24"/>
      <c r="G993" s="2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24"/>
      <c r="G994" s="2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24"/>
      <c r="G995" s="2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24"/>
      <c r="G996" s="2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24"/>
      <c r="G997" s="2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24"/>
      <c r="G998" s="2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24"/>
      <c r="G999" s="2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24"/>
      <c r="G1000" s="2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J2:J15">
      <formula1>"In Progress,Done,Porblem,Unneeded"</formula1>
    </dataValidation>
  </dataValidations>
  <hyperlinks>
    <hyperlink r:id="rId1" location="nav-specification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</hyperlinks>
  <drawing r:id="rId13"/>
</worksheet>
</file>